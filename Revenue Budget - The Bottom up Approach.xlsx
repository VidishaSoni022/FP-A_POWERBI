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Careers/FP&amp;A Course/4.1. Calculating Revenue_done/"/>
    </mc:Choice>
  </mc:AlternateContent>
  <xr:revisionPtr revIDLastSave="836" documentId="13_ncr:1_{4EA4B414-2CBE-42FC-84C1-ABEFBB89DD1C}" xr6:coauthVersionLast="46" xr6:coauthVersionMax="46" xr10:uidLastSave="{7F53CE57-CE08-48C6-8796-E814ADBCCAF1}"/>
  <bookViews>
    <workbookView xWindow="-110" yWindow="-110" windowWidth="19420" windowHeight="11020" tabRatio="920" activeTab="2" xr2:uid="{00000000-000D-0000-FFFF-FFFF00000000}"/>
  </bookViews>
  <sheets>
    <sheet name="P&amp;L Budgeting" sheetId="10" r:id="rId1"/>
    <sheet name="Sales Budget --&gt;" sheetId="1" r:id="rId2"/>
    <sheet name="Bottom-up Approach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6" i="2" l="1"/>
  <c r="L26" i="2"/>
  <c r="K26" i="2"/>
  <c r="J26" i="2"/>
  <c r="M25" i="2"/>
  <c r="M28" i="2" s="1"/>
  <c r="L25" i="2"/>
  <c r="L28" i="2" s="1"/>
  <c r="K25" i="2"/>
  <c r="K28" i="2" s="1"/>
  <c r="J25" i="2"/>
  <c r="J28" i="2" s="1"/>
  <c r="I28" i="2"/>
  <c r="I26" i="2"/>
  <c r="I25" i="2"/>
  <c r="L9" i="2"/>
  <c r="K9" i="2"/>
  <c r="J9" i="2"/>
  <c r="I9" i="2"/>
  <c r="M9" i="2" s="1"/>
  <c r="L8" i="2"/>
  <c r="K8" i="2"/>
  <c r="J8" i="2"/>
  <c r="I8" i="2"/>
  <c r="L7" i="2"/>
  <c r="K7" i="2"/>
  <c r="J7" i="2"/>
  <c r="I7" i="2"/>
  <c r="M7" i="2" s="1"/>
  <c r="O23" i="2"/>
  <c r="G17" i="2"/>
  <c r="G16" i="2"/>
  <c r="O22" i="2"/>
  <c r="F26" i="2"/>
  <c r="E26" i="2"/>
  <c r="D26" i="2"/>
  <c r="C26" i="2"/>
  <c r="F25" i="2"/>
  <c r="E25" i="2"/>
  <c r="D25" i="2"/>
  <c r="C25" i="2"/>
  <c r="M8" i="2" l="1"/>
  <c r="D28" i="2"/>
  <c r="E28" i="2"/>
  <c r="G26" i="2"/>
  <c r="G25" i="2"/>
  <c r="C28" i="2"/>
  <c r="F28" i="2"/>
  <c r="G28" i="2" l="1"/>
  <c r="J10" i="2" l="1"/>
  <c r="J14" i="2" s="1"/>
  <c r="K10" i="2"/>
  <c r="K14" i="2" s="1"/>
  <c r="L10" i="2"/>
  <c r="L14" i="2" s="1"/>
  <c r="I10" i="2"/>
  <c r="M10" i="2" s="1"/>
  <c r="M14" i="2" l="1"/>
  <c r="I14" i="2"/>
  <c r="G9" i="2" l="1"/>
  <c r="G8" i="2"/>
  <c r="G7" i="2"/>
  <c r="F10" i="2"/>
  <c r="F14" i="2" s="1"/>
  <c r="E10" i="2"/>
  <c r="E14" i="2" s="1"/>
  <c r="D10" i="2"/>
  <c r="D14" i="2" s="1"/>
  <c r="C10" i="2"/>
  <c r="C14" i="2" s="1"/>
  <c r="D20" i="2" l="1"/>
  <c r="J20" i="2" s="1"/>
  <c r="J17" i="2" s="1"/>
  <c r="D19" i="2"/>
  <c r="F20" i="2"/>
  <c r="L20" i="2" s="1"/>
  <c r="L17" i="2" s="1"/>
  <c r="F19" i="2"/>
  <c r="L19" i="2" s="1"/>
  <c r="L16" i="2" s="1"/>
  <c r="E20" i="2"/>
  <c r="K20" i="2" s="1"/>
  <c r="K17" i="2" s="1"/>
  <c r="E19" i="2"/>
  <c r="K19" i="2" s="1"/>
  <c r="K16" i="2" s="1"/>
  <c r="C19" i="2"/>
  <c r="I19" i="2" s="1"/>
  <c r="I16" i="2" s="1"/>
  <c r="C20" i="2"/>
  <c r="I20" i="2" s="1"/>
  <c r="I17" i="2" s="1"/>
  <c r="G10" i="2"/>
  <c r="J19" i="2" l="1"/>
  <c r="J16" i="2" s="1"/>
  <c r="O10" i="2"/>
  <c r="G14" i="2"/>
  <c r="O14" i="2" s="1"/>
  <c r="G19" i="2" l="1"/>
  <c r="M19" i="2" s="1"/>
  <c r="G20" i="2"/>
  <c r="M20" i="2" s="1"/>
  <c r="M17" i="2"/>
  <c r="M16" i="2"/>
  <c r="O28" i="2" l="1"/>
</calcChain>
</file>

<file path=xl/sharedStrings.xml><?xml version="1.0" encoding="utf-8"?>
<sst xmlns="http://schemas.openxmlformats.org/spreadsheetml/2006/main" count="51" uniqueCount="31">
  <si>
    <t>Sales Budget --&gt;</t>
  </si>
  <si>
    <t>Last Year Actual Volume</t>
  </si>
  <si>
    <t>in '000</t>
  </si>
  <si>
    <t>Q1</t>
  </si>
  <si>
    <t>Q2</t>
  </si>
  <si>
    <t>Q3</t>
  </si>
  <si>
    <t>Q4</t>
  </si>
  <si>
    <t>FY</t>
  </si>
  <si>
    <t>Total</t>
  </si>
  <si>
    <t>Distributor A</t>
  </si>
  <si>
    <t>Distributor B</t>
  </si>
  <si>
    <t>Distributor C</t>
  </si>
  <si>
    <t xml:space="preserve"> Growth %</t>
  </si>
  <si>
    <t>White Hats</t>
  </si>
  <si>
    <t>Red Hats</t>
  </si>
  <si>
    <t>Price White Hats</t>
  </si>
  <si>
    <t>Price Red Hats</t>
  </si>
  <si>
    <t>Revenue White Hats</t>
  </si>
  <si>
    <t>Revenue Red Hats</t>
  </si>
  <si>
    <t>Total Revenue</t>
  </si>
  <si>
    <t>Revenue</t>
  </si>
  <si>
    <t>Sales Volume</t>
  </si>
  <si>
    <t>Bottom-Up Volume Budget</t>
  </si>
  <si>
    <t>Revenue Budget</t>
  </si>
  <si>
    <t>Last Year Actual Revenue</t>
  </si>
  <si>
    <t>Bottom-Up Approach</t>
  </si>
  <si>
    <t>Bottom-Up Revenue Budget</t>
  </si>
  <si>
    <t>P&amp;L Budgeting --&gt;</t>
  </si>
  <si>
    <t>&gt;&gt; Volume planning</t>
  </si>
  <si>
    <t>&gt;&gt; Mix planning</t>
  </si>
  <si>
    <t>&gt;&gt;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</si>
</sst>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л_в_._-;\-* #,##0.00\ _л_в_._-;_-* &quot;-&quot;??\ _л_в_._-;_-@_-"/>
    <numFmt numFmtId="165" formatCode="0.0%"/>
    <numFmt numFmtId="166" formatCode="#,##0_ ;\-#,##0\ 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30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10"/>
      <color rgb="FF002060"/>
      <name val="Arial"/>
      <family val="2"/>
      <charset val="204"/>
    </font>
    <font>
      <b/>
      <sz val="9"/>
      <color theme="1"/>
      <name val="Arial"/>
      <family val="2"/>
    </font>
    <font>
      <b/>
      <sz val="9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2" fillId="2" borderId="0" xfId="0" applyFont="1" applyFill="1" applyBorder="1" applyAlignment="1">
      <alignment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right"/>
    </xf>
    <xf numFmtId="9" fontId="2" fillId="2" borderId="0" xfId="2" applyFont="1" applyFill="1"/>
    <xf numFmtId="166" fontId="2" fillId="2" borderId="0" xfId="1" applyNumberFormat="1" applyFont="1" applyFill="1"/>
    <xf numFmtId="165" fontId="2" fillId="2" borderId="0" xfId="2" applyNumberFormat="1" applyFont="1" applyFill="1"/>
    <xf numFmtId="9" fontId="7" fillId="2" borderId="0" xfId="2" applyFont="1" applyFill="1"/>
    <xf numFmtId="0" fontId="7" fillId="2" borderId="2" xfId="0" applyFont="1" applyFill="1" applyBorder="1"/>
    <xf numFmtId="166" fontId="7" fillId="2" borderId="2" xfId="1" applyNumberFormat="1" applyFont="1" applyFill="1" applyBorder="1"/>
    <xf numFmtId="0" fontId="2" fillId="2" borderId="0" xfId="0" applyFont="1" applyFill="1" applyBorder="1"/>
    <xf numFmtId="0" fontId="7" fillId="2" borderId="0" xfId="0" applyFont="1" applyFill="1" applyBorder="1" applyAlignment="1">
      <alignment horizontal="right"/>
    </xf>
    <xf numFmtId="166" fontId="2" fillId="2" borderId="0" xfId="1" applyNumberFormat="1" applyFont="1" applyFill="1" applyBorder="1"/>
    <xf numFmtId="166" fontId="7" fillId="2" borderId="0" xfId="1" applyNumberFormat="1" applyFont="1" applyFill="1" applyBorder="1"/>
    <xf numFmtId="165" fontId="2" fillId="2" borderId="0" xfId="0" applyNumberFormat="1" applyFont="1" applyFill="1"/>
    <xf numFmtId="0" fontId="7" fillId="2" borderId="0" xfId="0" applyFont="1" applyFill="1" applyBorder="1"/>
    <xf numFmtId="1" fontId="2" fillId="2" borderId="0" xfId="0" applyNumberFormat="1" applyFont="1" applyFill="1"/>
    <xf numFmtId="0" fontId="8" fillId="2" borderId="0" xfId="0" applyFont="1" applyFill="1"/>
    <xf numFmtId="3" fontId="2" fillId="2" borderId="0" xfId="0" applyNumberFormat="1" applyFont="1" applyFill="1"/>
    <xf numFmtId="0" fontId="5" fillId="2" borderId="3" xfId="0" applyFont="1" applyFill="1" applyBorder="1"/>
    <xf numFmtId="3" fontId="5" fillId="2" borderId="3" xfId="0" applyNumberFormat="1" applyFont="1" applyFill="1" applyBorder="1"/>
    <xf numFmtId="3" fontId="5" fillId="2" borderId="0" xfId="0" applyNumberFormat="1" applyFont="1" applyFill="1"/>
    <xf numFmtId="3" fontId="7" fillId="2" borderId="2" xfId="0" applyNumberFormat="1" applyFont="1" applyFill="1" applyBorder="1"/>
    <xf numFmtId="3" fontId="7" fillId="2" borderId="0" xfId="0" applyNumberFormat="1" applyFont="1" applyFill="1"/>
    <xf numFmtId="166" fontId="2" fillId="2" borderId="0" xfId="0" applyNumberFormat="1" applyFont="1" applyFill="1"/>
    <xf numFmtId="3" fontId="9" fillId="2" borderId="0" xfId="0" applyNumberFormat="1" applyFont="1" applyFill="1"/>
    <xf numFmtId="3" fontId="10" fillId="2" borderId="2" xfId="0" applyNumberFormat="1" applyFont="1" applyFill="1" applyBorder="1"/>
    <xf numFmtId="0" fontId="9" fillId="2" borderId="0" xfId="0" applyFont="1" applyFill="1"/>
    <xf numFmtId="0" fontId="10" fillId="2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horizontal="right" wrapText="1"/>
    </xf>
    <xf numFmtId="166" fontId="9" fillId="2" borderId="0" xfId="1" applyNumberFormat="1" applyFont="1" applyFill="1"/>
    <xf numFmtId="0" fontId="10" fillId="2" borderId="0" xfId="0" applyFont="1" applyFill="1"/>
    <xf numFmtId="3" fontId="7" fillId="2" borderId="0" xfId="0" applyNumberFormat="1" applyFont="1" applyFill="1" applyBorder="1"/>
    <xf numFmtId="165" fontId="10" fillId="2" borderId="0" xfId="2" applyNumberFormat="1" applyFont="1" applyFill="1"/>
    <xf numFmtId="165" fontId="9" fillId="2" borderId="0" xfId="2" applyNumberFormat="1" applyFont="1" applyFill="1"/>
    <xf numFmtId="165" fontId="10" fillId="2" borderId="2" xfId="2" applyNumberFormat="1" applyFont="1" applyFill="1" applyBorder="1"/>
    <xf numFmtId="9" fontId="9" fillId="2" borderId="0" xfId="2" applyFont="1" applyFill="1"/>
    <xf numFmtId="166" fontId="10" fillId="2" borderId="2" xfId="1" applyNumberFormat="1" applyFont="1" applyFill="1" applyBorder="1"/>
    <xf numFmtId="165" fontId="9" fillId="2" borderId="0" xfId="0" applyNumberFormat="1" applyFont="1" applyFill="1"/>
    <xf numFmtId="3" fontId="9" fillId="2" borderId="3" xfId="0" applyNumberFormat="1" applyFont="1" applyFill="1" applyBorder="1"/>
    <xf numFmtId="3" fontId="10" fillId="2" borderId="0" xfId="0" applyNumberFormat="1" applyFont="1" applyFill="1" applyBorder="1"/>
    <xf numFmtId="166" fontId="9" fillId="2" borderId="0" xfId="0" applyNumberFormat="1" applyFont="1" applyFill="1"/>
    <xf numFmtId="0" fontId="6" fillId="3" borderId="0" xfId="0" applyFont="1" applyFill="1" applyAlignment="1">
      <alignment horizontal="center"/>
    </xf>
    <xf numFmtId="165" fontId="10" fillId="2" borderId="0" xfId="2" applyNumberFormat="1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4.9989318521683403E-2"/>
  </sheetPr>
  <dimension ref="B1:B11"/>
  <sheetViews>
    <sheetView workbookViewId="0">
      <selection activeCell="B16" sqref="B16"/>
    </sheetView>
  </sheetViews>
  <sheetFormatPr defaultColWidth="9.26953125" defaultRowHeight="11.5" x14ac:dyDescent="0.25"/>
  <cols>
    <col min="1" max="1" width="2" style="2" customWidth="1"/>
    <col min="2" max="16384" width="9.26953125" style="2"/>
  </cols>
  <sheetData>
    <row r="1" spans="2:2" ht="15.5" x14ac:dyDescent="0.35">
      <c r="B1" s="3"/>
    </row>
    <row r="11" spans="2:2" ht="37.5" x14ac:dyDescent="0.75">
      <c r="B11" s="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B11"/>
  <sheetViews>
    <sheetView topLeftCell="A4" workbookViewId="0"/>
  </sheetViews>
  <sheetFormatPr defaultColWidth="9.26953125" defaultRowHeight="14.5" x14ac:dyDescent="0.35"/>
  <cols>
    <col min="1" max="1" width="2" style="1" customWidth="1"/>
    <col min="2" max="16384" width="9.26953125" style="1"/>
  </cols>
  <sheetData>
    <row r="11" spans="2:2" ht="37.5" x14ac:dyDescent="0.75">
      <c r="B11" s="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Q54"/>
  <sheetViews>
    <sheetView tabSelected="1" topLeftCell="A4" zoomScaleNormal="100" workbookViewId="0">
      <selection activeCell="L28" sqref="L28"/>
    </sheetView>
  </sheetViews>
  <sheetFormatPr defaultColWidth="9.26953125" defaultRowHeight="11.5" x14ac:dyDescent="0.25"/>
  <cols>
    <col min="1" max="1" width="2" style="2" customWidth="1"/>
    <col min="2" max="2" width="24.26953125" style="2" customWidth="1"/>
    <col min="3" max="6" width="9.26953125" style="2"/>
    <col min="7" max="7" width="9.26953125" style="32"/>
    <col min="8" max="8" width="1.81640625" style="2" customWidth="1"/>
    <col min="9" max="12" width="9.26953125" style="2"/>
    <col min="13" max="13" width="9.26953125" style="32" customWidth="1"/>
    <col min="14" max="14" width="2.453125" style="15" customWidth="1"/>
    <col min="15" max="15" width="9.26953125" style="32"/>
    <col min="16" max="16" width="4.1796875" style="2" customWidth="1"/>
    <col min="17" max="17" width="13.54296875" style="2" customWidth="1"/>
    <col min="18" max="16384" width="9.26953125" style="2"/>
  </cols>
  <sheetData>
    <row r="1" spans="2:17" ht="15.5" x14ac:dyDescent="0.35">
      <c r="B1" s="3" t="s">
        <v>23</v>
      </c>
    </row>
    <row r="3" spans="2:17" ht="13" x14ac:dyDescent="0.3">
      <c r="B3" s="22" t="s">
        <v>25</v>
      </c>
    </row>
    <row r="4" spans="2:17" x14ac:dyDescent="0.25">
      <c r="B4" s="5"/>
    </row>
    <row r="5" spans="2:17" x14ac:dyDescent="0.25">
      <c r="B5" s="36" t="s">
        <v>21</v>
      </c>
      <c r="C5" s="47" t="s">
        <v>1</v>
      </c>
      <c r="D5" s="47"/>
      <c r="E5" s="47"/>
      <c r="F5" s="47"/>
      <c r="G5" s="47"/>
      <c r="H5" s="6"/>
      <c r="I5" s="47" t="s">
        <v>22</v>
      </c>
      <c r="J5" s="47"/>
      <c r="K5" s="47"/>
      <c r="L5" s="47"/>
      <c r="M5" s="47"/>
      <c r="N5" s="47"/>
      <c r="O5" s="47"/>
    </row>
    <row r="6" spans="2:17" ht="12" thickBot="1" x14ac:dyDescent="0.3">
      <c r="B6" s="7" t="s">
        <v>2</v>
      </c>
      <c r="C6" s="8" t="s">
        <v>3</v>
      </c>
      <c r="D6" s="8" t="s">
        <v>4</v>
      </c>
      <c r="E6" s="8" t="s">
        <v>5</v>
      </c>
      <c r="F6" s="8" t="s">
        <v>6</v>
      </c>
      <c r="G6" s="33" t="s">
        <v>7</v>
      </c>
      <c r="H6" s="6"/>
      <c r="I6" s="8" t="s">
        <v>3</v>
      </c>
      <c r="J6" s="8" t="s">
        <v>4</v>
      </c>
      <c r="K6" s="8" t="s">
        <v>5</v>
      </c>
      <c r="L6" s="8" t="s">
        <v>6</v>
      </c>
      <c r="M6" s="33" t="s">
        <v>7</v>
      </c>
      <c r="N6" s="16"/>
      <c r="O6" s="34" t="s">
        <v>12</v>
      </c>
    </row>
    <row r="7" spans="2:17" x14ac:dyDescent="0.25">
      <c r="B7" s="2" t="s">
        <v>9</v>
      </c>
      <c r="C7" s="10">
        <v>100</v>
      </c>
      <c r="D7" s="10">
        <v>250</v>
      </c>
      <c r="E7" s="10">
        <v>280</v>
      </c>
      <c r="F7" s="10">
        <v>98</v>
      </c>
      <c r="G7" s="35">
        <f>SUM(C7:F7)</f>
        <v>728</v>
      </c>
      <c r="H7" s="9"/>
      <c r="I7" s="10">
        <f>C7*(1+$O7)</f>
        <v>107</v>
      </c>
      <c r="J7" s="10">
        <f t="shared" ref="J7:J9" si="0">D7*(1+$O7)</f>
        <v>267.5</v>
      </c>
      <c r="K7" s="10">
        <f t="shared" ref="K7:K9" si="1">E7*(1+$O7)</f>
        <v>299.60000000000002</v>
      </c>
      <c r="L7" s="10">
        <f t="shared" ref="L7:L9" si="2">F7*(1+$O7)</f>
        <v>104.86</v>
      </c>
      <c r="M7" s="35">
        <f>SUM(I7:L7)</f>
        <v>778.96</v>
      </c>
      <c r="N7" s="17"/>
      <c r="O7" s="39">
        <v>7.0000000000000007E-2</v>
      </c>
      <c r="Q7" s="11"/>
    </row>
    <row r="8" spans="2:17" x14ac:dyDescent="0.25">
      <c r="B8" s="2" t="s">
        <v>10</v>
      </c>
      <c r="C8" s="10">
        <v>50</v>
      </c>
      <c r="D8" s="10">
        <v>86</v>
      </c>
      <c r="E8" s="10">
        <v>92</v>
      </c>
      <c r="F8" s="10">
        <v>65</v>
      </c>
      <c r="G8" s="35">
        <f t="shared" ref="G8:G9" si="3">SUM(C8:F8)</f>
        <v>293</v>
      </c>
      <c r="H8" s="9"/>
      <c r="I8" s="10">
        <f t="shared" ref="I8:I9" si="4">C8*(1+$O8)</f>
        <v>52.75</v>
      </c>
      <c r="J8" s="10">
        <f t="shared" si="0"/>
        <v>90.72999999999999</v>
      </c>
      <c r="K8" s="10">
        <f t="shared" si="1"/>
        <v>97.059999999999988</v>
      </c>
      <c r="L8" s="10">
        <f t="shared" si="2"/>
        <v>68.575000000000003</v>
      </c>
      <c r="M8" s="35">
        <f>SUM(I8:L8)</f>
        <v>309.11499999999995</v>
      </c>
      <c r="N8" s="17"/>
      <c r="O8" s="39">
        <v>5.5E-2</v>
      </c>
      <c r="Q8" s="38" t="s">
        <v>28</v>
      </c>
    </row>
    <row r="9" spans="2:17" x14ac:dyDescent="0.25">
      <c r="B9" s="2" t="s">
        <v>11</v>
      </c>
      <c r="C9" s="10">
        <v>45</v>
      </c>
      <c r="D9" s="10">
        <v>120</v>
      </c>
      <c r="E9" s="10">
        <v>120</v>
      </c>
      <c r="F9" s="10">
        <v>70</v>
      </c>
      <c r="G9" s="35">
        <f t="shared" si="3"/>
        <v>355</v>
      </c>
      <c r="H9" s="9"/>
      <c r="I9" s="10">
        <f t="shared" si="4"/>
        <v>50.400000000000006</v>
      </c>
      <c r="J9" s="10">
        <f t="shared" si="0"/>
        <v>134.4</v>
      </c>
      <c r="K9" s="10">
        <f t="shared" si="1"/>
        <v>134.4</v>
      </c>
      <c r="L9" s="10">
        <f t="shared" si="2"/>
        <v>78.400000000000006</v>
      </c>
      <c r="M9" s="35">
        <f>SUM(I9:L9)</f>
        <v>397.6</v>
      </c>
      <c r="N9" s="17"/>
      <c r="O9" s="39">
        <v>0.12</v>
      </c>
      <c r="Q9" s="11"/>
    </row>
    <row r="10" spans="2:17" ht="12" thickBot="1" x14ac:dyDescent="0.3">
      <c r="B10" s="13" t="s">
        <v>8</v>
      </c>
      <c r="C10" s="14">
        <f>SUM(C7:C9)</f>
        <v>195</v>
      </c>
      <c r="D10" s="14">
        <f>SUM(D7:D9)</f>
        <v>456</v>
      </c>
      <c r="E10" s="14">
        <f>SUM(E7:E9)</f>
        <v>492</v>
      </c>
      <c r="F10" s="14">
        <f>SUM(F7:F9)</f>
        <v>233</v>
      </c>
      <c r="G10" s="42">
        <f>C10+D10+E10+F10</f>
        <v>1376</v>
      </c>
      <c r="H10" s="12"/>
      <c r="I10" s="14">
        <f>SUM(I7:I9)</f>
        <v>210.15</v>
      </c>
      <c r="J10" s="14">
        <f t="shared" ref="J10:L10" si="5">SUM(J7:J9)</f>
        <v>492.63</v>
      </c>
      <c r="K10" s="14">
        <f t="shared" si="5"/>
        <v>531.06000000000006</v>
      </c>
      <c r="L10" s="14">
        <f t="shared" si="5"/>
        <v>251.83500000000001</v>
      </c>
      <c r="M10" s="42">
        <f>SUM(I10:L10)</f>
        <v>1485.6750000000002</v>
      </c>
      <c r="N10" s="18"/>
      <c r="O10" s="40">
        <f>M10/G10-1</f>
        <v>7.9705668604651336E-2</v>
      </c>
    </row>
    <row r="12" spans="2:17" x14ac:dyDescent="0.25">
      <c r="B12" s="36" t="s">
        <v>20</v>
      </c>
      <c r="C12" s="47" t="s">
        <v>24</v>
      </c>
      <c r="D12" s="47"/>
      <c r="E12" s="47"/>
      <c r="F12" s="47"/>
      <c r="G12" s="47"/>
      <c r="H12" s="6"/>
      <c r="I12" s="47" t="s">
        <v>26</v>
      </c>
      <c r="J12" s="47"/>
      <c r="K12" s="47"/>
      <c r="L12" s="47"/>
      <c r="M12" s="47"/>
      <c r="N12" s="47"/>
      <c r="O12" s="47"/>
    </row>
    <row r="13" spans="2:17" ht="12" thickBot="1" x14ac:dyDescent="0.3">
      <c r="B13" s="7" t="s">
        <v>2</v>
      </c>
      <c r="C13" s="8" t="s">
        <v>3</v>
      </c>
      <c r="D13" s="8" t="s">
        <v>4</v>
      </c>
      <c r="E13" s="8" t="s">
        <v>5</v>
      </c>
      <c r="F13" s="8" t="s">
        <v>6</v>
      </c>
      <c r="G13" s="33" t="s">
        <v>7</v>
      </c>
      <c r="H13" s="6"/>
      <c r="I13" s="8" t="s">
        <v>3</v>
      </c>
      <c r="J13" s="8" t="s">
        <v>4</v>
      </c>
      <c r="K13" s="8" t="s">
        <v>5</v>
      </c>
      <c r="L13" s="8" t="s">
        <v>6</v>
      </c>
      <c r="M13" s="33" t="s">
        <v>7</v>
      </c>
      <c r="N13" s="16"/>
      <c r="O13" s="34" t="s">
        <v>12</v>
      </c>
    </row>
    <row r="14" spans="2:17" x14ac:dyDescent="0.25">
      <c r="B14" s="32" t="s">
        <v>21</v>
      </c>
      <c r="C14" s="10">
        <f>C10</f>
        <v>195</v>
      </c>
      <c r="D14" s="10">
        <f>D10</f>
        <v>456</v>
      </c>
      <c r="E14" s="10">
        <f>E10</f>
        <v>492</v>
      </c>
      <c r="F14" s="10">
        <f>F10</f>
        <v>233</v>
      </c>
      <c r="G14" s="35">
        <f>G10</f>
        <v>1376</v>
      </c>
      <c r="I14" s="10">
        <f>I10</f>
        <v>210.15</v>
      </c>
      <c r="J14" s="10">
        <f>J10</f>
        <v>492.63</v>
      </c>
      <c r="K14" s="10">
        <f>K10</f>
        <v>531.06000000000006</v>
      </c>
      <c r="L14" s="10">
        <f>L10</f>
        <v>251.83500000000001</v>
      </c>
      <c r="M14" s="35">
        <f>M10</f>
        <v>1485.6750000000002</v>
      </c>
      <c r="O14" s="39">
        <f>M14/G14-1</f>
        <v>7.9705668604651336E-2</v>
      </c>
    </row>
    <row r="15" spans="2:17" x14ac:dyDescent="0.25">
      <c r="C15" s="29"/>
      <c r="D15" s="29"/>
      <c r="E15" s="29"/>
      <c r="F15" s="29"/>
      <c r="G15" s="46"/>
    </row>
    <row r="16" spans="2:17" x14ac:dyDescent="0.25">
      <c r="B16" s="2" t="s">
        <v>13</v>
      </c>
      <c r="C16" s="29">
        <v>130</v>
      </c>
      <c r="D16" s="29">
        <v>304</v>
      </c>
      <c r="E16" s="29">
        <v>328</v>
      </c>
      <c r="F16" s="29">
        <v>155.33333333333331</v>
      </c>
      <c r="G16" s="35">
        <f>SUM(C16:F16)</f>
        <v>917.33333333333326</v>
      </c>
      <c r="I16" s="21">
        <f>I19*I14</f>
        <v>140.1</v>
      </c>
      <c r="J16" s="21">
        <f t="shared" ref="J16:L16" si="6">J19*J14</f>
        <v>328.41999999999996</v>
      </c>
      <c r="K16" s="21">
        <f t="shared" si="6"/>
        <v>354.04</v>
      </c>
      <c r="L16" s="21">
        <f t="shared" si="6"/>
        <v>167.89</v>
      </c>
      <c r="M16" s="35">
        <f>SUM(I16:L16)</f>
        <v>990.44999999999993</v>
      </c>
      <c r="Q16" s="48" t="s">
        <v>29</v>
      </c>
    </row>
    <row r="17" spans="2:17" x14ac:dyDescent="0.25">
      <c r="B17" s="2" t="s">
        <v>14</v>
      </c>
      <c r="C17" s="29">
        <v>65</v>
      </c>
      <c r="D17" s="29">
        <v>152</v>
      </c>
      <c r="E17" s="29">
        <v>164</v>
      </c>
      <c r="F17" s="29">
        <v>77.666666666666657</v>
      </c>
      <c r="G17" s="35">
        <f>SUM(C17:F17)</f>
        <v>458.66666666666663</v>
      </c>
      <c r="I17" s="21">
        <f>I20*I14</f>
        <v>70.05</v>
      </c>
      <c r="J17" s="21">
        <f t="shared" ref="J17:L17" si="7">J20*J14</f>
        <v>164.20999999999998</v>
      </c>
      <c r="K17" s="21">
        <f t="shared" si="7"/>
        <v>177.02</v>
      </c>
      <c r="L17" s="21">
        <f t="shared" si="7"/>
        <v>83.944999999999993</v>
      </c>
      <c r="M17" s="35">
        <f>SUM(I17:L17)</f>
        <v>495.22499999999997</v>
      </c>
      <c r="Q17" s="48"/>
    </row>
    <row r="19" spans="2:17" x14ac:dyDescent="0.25">
      <c r="B19" s="2" t="s">
        <v>13</v>
      </c>
      <c r="C19" s="11">
        <f t="shared" ref="C19:G20" si="8">C16/C$14</f>
        <v>0.66666666666666663</v>
      </c>
      <c r="D19" s="11">
        <f t="shared" si="8"/>
        <v>0.66666666666666663</v>
      </c>
      <c r="E19" s="11">
        <f t="shared" si="8"/>
        <v>0.66666666666666663</v>
      </c>
      <c r="F19" s="11">
        <f t="shared" si="8"/>
        <v>0.66666666666666663</v>
      </c>
      <c r="G19" s="39">
        <f t="shared" si="8"/>
        <v>0.66666666666666663</v>
      </c>
      <c r="I19" s="19">
        <f>C19</f>
        <v>0.66666666666666663</v>
      </c>
      <c r="J19" s="19">
        <f t="shared" ref="J19:J20" si="9">D19</f>
        <v>0.66666666666666663</v>
      </c>
      <c r="K19" s="19">
        <f t="shared" ref="K19:K20" si="10">E19</f>
        <v>0.66666666666666663</v>
      </c>
      <c r="L19" s="19">
        <f t="shared" ref="L19:L20" si="11">F19</f>
        <v>0.66666666666666663</v>
      </c>
      <c r="M19" s="19">
        <f t="shared" ref="M19:M20" si="12">G19</f>
        <v>0.66666666666666663</v>
      </c>
    </row>
    <row r="20" spans="2:17" x14ac:dyDescent="0.25">
      <c r="B20" s="2" t="s">
        <v>14</v>
      </c>
      <c r="C20" s="11">
        <f t="shared" si="8"/>
        <v>0.33333333333333331</v>
      </c>
      <c r="D20" s="11">
        <f t="shared" si="8"/>
        <v>0.33333333333333331</v>
      </c>
      <c r="E20" s="11">
        <f t="shared" si="8"/>
        <v>0.33333333333333331</v>
      </c>
      <c r="F20" s="11">
        <f t="shared" si="8"/>
        <v>0.33333333333333331</v>
      </c>
      <c r="G20" s="39">
        <f t="shared" si="8"/>
        <v>0.33333333333333331</v>
      </c>
      <c r="I20" s="19">
        <f t="shared" ref="I20" si="13">C20</f>
        <v>0.33333333333333331</v>
      </c>
      <c r="J20" s="19">
        <f t="shared" si="9"/>
        <v>0.33333333333333331</v>
      </c>
      <c r="K20" s="19">
        <f t="shared" si="10"/>
        <v>0.33333333333333331</v>
      </c>
      <c r="L20" s="19">
        <f t="shared" si="11"/>
        <v>0.33333333333333331</v>
      </c>
      <c r="M20" s="19">
        <f t="shared" si="12"/>
        <v>0.33333333333333331</v>
      </c>
    </row>
    <row r="21" spans="2:17" x14ac:dyDescent="0.25">
      <c r="C21" s="11"/>
      <c r="D21" s="11"/>
      <c r="E21" s="11"/>
      <c r="F21" s="11"/>
      <c r="G21" s="39"/>
      <c r="I21" s="19"/>
      <c r="J21" s="19"/>
      <c r="K21" s="19"/>
      <c r="L21" s="19"/>
      <c r="M21" s="43"/>
    </row>
    <row r="22" spans="2:17" x14ac:dyDescent="0.25">
      <c r="B22" s="2" t="s">
        <v>15</v>
      </c>
      <c r="C22" s="2">
        <v>10</v>
      </c>
      <c r="D22" s="2">
        <v>10</v>
      </c>
      <c r="E22" s="2">
        <v>10</v>
      </c>
      <c r="F22" s="2">
        <v>10</v>
      </c>
      <c r="G22" s="32">
        <v>10</v>
      </c>
      <c r="I22" s="2">
        <v>10</v>
      </c>
      <c r="J22" s="2">
        <v>10</v>
      </c>
      <c r="K22" s="2">
        <v>10</v>
      </c>
      <c r="L22" s="2">
        <v>10</v>
      </c>
      <c r="M22" s="2">
        <v>10</v>
      </c>
      <c r="N22" s="2"/>
      <c r="O22" s="41">
        <f>M22/G22-1</f>
        <v>0</v>
      </c>
      <c r="Q22" s="48" t="s">
        <v>30</v>
      </c>
    </row>
    <row r="23" spans="2:17" x14ac:dyDescent="0.25">
      <c r="B23" s="2" t="s">
        <v>16</v>
      </c>
      <c r="C23" s="2">
        <v>10</v>
      </c>
      <c r="D23" s="2">
        <v>10</v>
      </c>
      <c r="E23" s="2">
        <v>10</v>
      </c>
      <c r="F23" s="2">
        <v>10</v>
      </c>
      <c r="G23" s="32">
        <v>10</v>
      </c>
      <c r="I23" s="2">
        <v>11</v>
      </c>
      <c r="J23" s="2">
        <v>11</v>
      </c>
      <c r="K23" s="2">
        <v>11</v>
      </c>
      <c r="L23" s="2">
        <v>11</v>
      </c>
      <c r="M23" s="2">
        <v>11</v>
      </c>
      <c r="N23" s="2"/>
      <c r="O23" s="41">
        <f>M23/G23-1</f>
        <v>0.10000000000000009</v>
      </c>
      <c r="Q23" s="48"/>
    </row>
    <row r="24" spans="2:17" x14ac:dyDescent="0.25">
      <c r="M24" s="2"/>
      <c r="N24" s="2"/>
    </row>
    <row r="25" spans="2:17" x14ac:dyDescent="0.25">
      <c r="B25" s="24" t="s">
        <v>17</v>
      </c>
      <c r="C25" s="25">
        <f>C16*C22</f>
        <v>1300</v>
      </c>
      <c r="D25" s="25">
        <f t="shared" ref="D25:G25" si="14">D16*D22</f>
        <v>3040</v>
      </c>
      <c r="E25" s="25">
        <f t="shared" si="14"/>
        <v>3280</v>
      </c>
      <c r="F25" s="25">
        <f t="shared" si="14"/>
        <v>1553.333333333333</v>
      </c>
      <c r="G25" s="44">
        <f t="shared" si="14"/>
        <v>9173.3333333333321</v>
      </c>
      <c r="H25" s="23"/>
      <c r="I25" s="25">
        <f>I16*I22</f>
        <v>1401</v>
      </c>
      <c r="J25" s="25">
        <f t="shared" ref="J25:M25" si="15">J16*J22</f>
        <v>3284.2</v>
      </c>
      <c r="K25" s="25">
        <f t="shared" si="15"/>
        <v>3540.4</v>
      </c>
      <c r="L25" s="25">
        <f t="shared" si="15"/>
        <v>1678.8999999999999</v>
      </c>
      <c r="M25" s="25">
        <f t="shared" si="15"/>
        <v>9904.5</v>
      </c>
      <c r="N25" s="2"/>
    </row>
    <row r="26" spans="2:17" x14ac:dyDescent="0.25">
      <c r="B26" s="5" t="s">
        <v>18</v>
      </c>
      <c r="C26" s="26">
        <f t="shared" ref="C26:G26" si="16">C17*C23</f>
        <v>650</v>
      </c>
      <c r="D26" s="26">
        <f t="shared" si="16"/>
        <v>1520</v>
      </c>
      <c r="E26" s="26">
        <f t="shared" si="16"/>
        <v>1640</v>
      </c>
      <c r="F26" s="26">
        <f t="shared" si="16"/>
        <v>776.66666666666652</v>
      </c>
      <c r="G26" s="30">
        <f t="shared" si="16"/>
        <v>4586.6666666666661</v>
      </c>
      <c r="H26" s="23"/>
      <c r="I26" s="26">
        <f>I17*I23</f>
        <v>770.55</v>
      </c>
      <c r="J26" s="26">
        <f t="shared" ref="J26:M26" si="17">J17*J23</f>
        <v>1806.3099999999997</v>
      </c>
      <c r="K26" s="26">
        <f t="shared" si="17"/>
        <v>1947.22</v>
      </c>
      <c r="L26" s="26">
        <f t="shared" si="17"/>
        <v>923.39499999999998</v>
      </c>
      <c r="M26" s="26">
        <f t="shared" si="17"/>
        <v>5447.4749999999995</v>
      </c>
      <c r="N26" s="2"/>
    </row>
    <row r="27" spans="2:17" x14ac:dyDescent="0.25">
      <c r="M27" s="2"/>
      <c r="N27" s="2"/>
    </row>
    <row r="28" spans="2:17" ht="12" thickBot="1" x14ac:dyDescent="0.3">
      <c r="B28" s="13" t="s">
        <v>19</v>
      </c>
      <c r="C28" s="27">
        <f>C25+C26</f>
        <v>1950</v>
      </c>
      <c r="D28" s="27">
        <f t="shared" ref="D28:G28" si="18">D25+D26</f>
        <v>4560</v>
      </c>
      <c r="E28" s="27">
        <f t="shared" si="18"/>
        <v>4920</v>
      </c>
      <c r="F28" s="27">
        <f t="shared" si="18"/>
        <v>2329.9999999999995</v>
      </c>
      <c r="G28" s="31">
        <f t="shared" si="18"/>
        <v>13759.999999999998</v>
      </c>
      <c r="H28" s="28"/>
      <c r="I28" s="27">
        <f>I25+I26</f>
        <v>2171.5500000000002</v>
      </c>
      <c r="J28" s="27">
        <f t="shared" ref="J28:M28" si="19">J25+J26</f>
        <v>5090.5099999999993</v>
      </c>
      <c r="K28" s="27">
        <f t="shared" si="19"/>
        <v>5487.62</v>
      </c>
      <c r="L28" s="27">
        <f t="shared" si="19"/>
        <v>2602.2950000000001</v>
      </c>
      <c r="M28" s="27">
        <f t="shared" si="19"/>
        <v>15351.974999999999</v>
      </c>
      <c r="N28" s="2"/>
      <c r="O28" s="39">
        <f>M28/G28-1</f>
        <v>0.11569585755813949</v>
      </c>
    </row>
    <row r="29" spans="2:17" x14ac:dyDescent="0.25">
      <c r="B29" s="20"/>
      <c r="C29" s="37"/>
      <c r="D29" s="37"/>
      <c r="E29" s="37"/>
      <c r="F29" s="37"/>
      <c r="G29" s="45"/>
      <c r="H29" s="28"/>
      <c r="I29" s="37"/>
      <c r="J29" s="37"/>
      <c r="K29" s="37"/>
      <c r="L29" s="37"/>
      <c r="M29" s="45"/>
      <c r="N29" s="2"/>
      <c r="O29" s="39"/>
    </row>
    <row r="30" spans="2:17" x14ac:dyDescent="0.25">
      <c r="B30" s="20"/>
      <c r="C30" s="37"/>
      <c r="D30" s="37"/>
      <c r="E30" s="37"/>
      <c r="F30" s="37"/>
      <c r="G30" s="45"/>
      <c r="H30" s="28"/>
      <c r="I30" s="37"/>
      <c r="J30" s="37"/>
      <c r="K30" s="37"/>
      <c r="L30" s="37"/>
      <c r="M30" s="45"/>
      <c r="N30" s="2"/>
      <c r="O30" s="39"/>
    </row>
    <row r="44" spans="14:14" x14ac:dyDescent="0.25">
      <c r="N44" s="2"/>
    </row>
    <row r="45" spans="14:14" x14ac:dyDescent="0.25">
      <c r="N45" s="2"/>
    </row>
    <row r="46" spans="14:14" x14ac:dyDescent="0.25">
      <c r="N46" s="2"/>
    </row>
    <row r="47" spans="14:14" x14ac:dyDescent="0.25">
      <c r="N47" s="2"/>
    </row>
    <row r="48" spans="14:14" x14ac:dyDescent="0.25">
      <c r="N48" s="2"/>
    </row>
    <row r="49" spans="14:14" x14ac:dyDescent="0.25">
      <c r="N49" s="2"/>
    </row>
    <row r="50" spans="14:14" x14ac:dyDescent="0.25">
      <c r="N50" s="2"/>
    </row>
    <row r="51" spans="14:14" x14ac:dyDescent="0.25">
      <c r="N51" s="2"/>
    </row>
    <row r="53" spans="14:14" x14ac:dyDescent="0.25">
      <c r="N53" s="2"/>
    </row>
    <row r="54" spans="14:14" x14ac:dyDescent="0.25">
      <c r="N54" s="2"/>
    </row>
  </sheetData>
  <mergeCells count="6">
    <mergeCell ref="C5:G5"/>
    <mergeCell ref="I5:O5"/>
    <mergeCell ref="C12:G12"/>
    <mergeCell ref="I12:O12"/>
    <mergeCell ref="Q22:Q23"/>
    <mergeCell ref="Q16:Q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P&amp;L Budgeting</vt:lpstr>
      <vt:lpstr>Sales Budget --&gt;</vt:lpstr>
      <vt:lpstr>Bottom-up Approach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Antoniya Baltova</cp:lastModifiedBy>
  <dcterms:created xsi:type="dcterms:W3CDTF">2016-04-07T21:15:22Z</dcterms:created>
  <dcterms:modified xsi:type="dcterms:W3CDTF">2021-03-31T17:46:38Z</dcterms:modified>
</cp:coreProperties>
</file>